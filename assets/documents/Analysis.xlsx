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AnalystBootcamp\Top Youtubers DA Project\"/>
    </mc:Choice>
  </mc:AlternateContent>
  <xr:revisionPtr revIDLastSave="0" documentId="13_ncr:1_{9411B4BE-B36A-4AD0-8DF8-0190B0415644}" xr6:coauthVersionLast="47" xr6:coauthVersionMax="47" xr10:uidLastSave="{00000000-0000-0000-0000-000000000000}"/>
  <bookViews>
    <workbookView xWindow="-108" yWindow="-108" windowWidth="23256" windowHeight="12456" xr2:uid="{E863AD48-845B-4DA9-A643-BAD31D59E314}"/>
  </bookViews>
  <sheets>
    <sheet name="Analysis" sheetId="1" r:id="rId1"/>
    <sheet name="Pivot" sheetId="2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G9" i="1" s="1"/>
  <c r="C16" i="1"/>
  <c r="C17" i="1"/>
  <c r="C15" i="1"/>
  <c r="E11" i="1"/>
  <c r="G11" i="1" s="1"/>
  <c r="I11" i="1" s="1"/>
  <c r="F17" i="1" s="1"/>
  <c r="E10" i="1"/>
  <c r="G10" i="1" s="1"/>
  <c r="E15" i="1" l="1"/>
  <c r="I9" i="1"/>
  <c r="F15" i="1" s="1"/>
  <c r="D17" i="1"/>
  <c r="F16" i="1"/>
  <c r="E16" i="1"/>
  <c r="I10" i="1"/>
  <c r="D16" i="1"/>
  <c r="D15" i="1"/>
  <c r="E17" i="1"/>
</calcChain>
</file>

<file path=xl/sharedStrings.xml><?xml version="1.0" encoding="utf-8"?>
<sst xmlns="http://schemas.openxmlformats.org/spreadsheetml/2006/main" count="55" uniqueCount="33">
  <si>
    <t>Total Subscriber Analysis</t>
  </si>
  <si>
    <t>Channel Name</t>
  </si>
  <si>
    <t>Avg Views per Video (Excel)</t>
  </si>
  <si>
    <t>Avg Views per Video (SQL)</t>
  </si>
  <si>
    <t>Conversion Rate</t>
  </si>
  <si>
    <t>Production Cost</t>
  </si>
  <si>
    <t>Campaign Cost</t>
  </si>
  <si>
    <t>Potential Product Sales per video</t>
  </si>
  <si>
    <t>Justin Bieber</t>
  </si>
  <si>
    <t>Super Simple Songs - Kid Songs</t>
  </si>
  <si>
    <t>The Weekend</t>
  </si>
  <si>
    <t>Potential Product Sales per video (Excel)</t>
  </si>
  <si>
    <t>Potential Product Sales per video (SQL)</t>
  </si>
  <si>
    <t>Potential Revenue per Video $CAD (Excel)</t>
  </si>
  <si>
    <t>Potential Revenue per Video $CAD (SQL)</t>
  </si>
  <si>
    <t>Difference</t>
  </si>
  <si>
    <t>Net Profit (Excel)</t>
  </si>
  <si>
    <t>Net Profit (SQL)</t>
  </si>
  <si>
    <t>Grand Total</t>
  </si>
  <si>
    <t>Row Labels</t>
  </si>
  <si>
    <t>Sum of Avg Views per Video (SQL)</t>
  </si>
  <si>
    <t>Sum of Avg Views per Video (Excel)</t>
  </si>
  <si>
    <t>Sum of Potential Product Sales per video (Excel)</t>
  </si>
  <si>
    <t>Sum of Potential Product Sales per video (SQL)</t>
  </si>
  <si>
    <t>Sum of Potential Revenue per Video $CAD (Excel)</t>
  </si>
  <si>
    <t>Sum of Potential Revenue per Video $CAD (SQL)</t>
  </si>
  <si>
    <t>Sum of Net Profit (Excel)</t>
  </si>
  <si>
    <t>Sum of Net Profit (SQL)</t>
  </si>
  <si>
    <t>Avg Views per Video</t>
  </si>
  <si>
    <t>Potential Revenue per Video $CAD</t>
  </si>
  <si>
    <t>Net Profit</t>
  </si>
  <si>
    <t>Recommendations</t>
  </si>
  <si>
    <t>Based on viewership and views per subscriber, The Weeknd appears to be the best option to advance with because there is a higher ROI with The Weeknd compared to other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</si>
</sst>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lgerian"/>
      <family val="5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1" xfId="0" applyBorder="1" applyAlignment="1">
      <alignment vertical="center"/>
    </xf>
    <xf numFmtId="43" fontId="0" fillId="0" borderId="1" xfId="1" applyFont="1" applyBorder="1"/>
    <xf numFmtId="43" fontId="0" fillId="0" borderId="1" xfId="0" applyNumberFormat="1" applyBorder="1"/>
    <xf numFmtId="0" fontId="0" fillId="0" borderId="5" xfId="0" applyBorder="1"/>
    <xf numFmtId="0" fontId="0" fillId="0" borderId="6" xfId="0" applyBorder="1"/>
    <xf numFmtId="43" fontId="0" fillId="0" borderId="6" xfId="1" applyFont="1" applyBorder="1"/>
    <xf numFmtId="43" fontId="0" fillId="0" borderId="6" xfId="0" applyNumberFormat="1" applyBorder="1"/>
    <xf numFmtId="0" fontId="0" fillId="3" borderId="7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167" fontId="0" fillId="0" borderId="6" xfId="1" applyNumberFormat="1" applyFont="1" applyBorder="1"/>
    <xf numFmtId="167" fontId="0" fillId="0" borderId="1" xfId="1" applyNumberFormat="1" applyFont="1" applyBorder="1"/>
    <xf numFmtId="43" fontId="0" fillId="7" borderId="6" xfId="0" applyNumberFormat="1" applyFill="1" applyBorder="1"/>
    <xf numFmtId="0" fontId="2" fillId="8" borderId="5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wrapText="1"/>
    </xf>
  </cellXfs>
  <cellStyles count="2">
    <cellStyle name="Comma" xfId="1" builtinId="3"/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priya_PC" refreshedDate="46024.721501388885" createdVersion="8" refreshedVersion="8" minRefreshableVersion="3" recordCount="3" xr:uid="{4F0F05D1-22CE-404E-BA79-7D34E56CC0F9}">
  <cacheSource type="worksheet">
    <worksheetSource ref="B8:J11" sheet="Analysis"/>
  </cacheSource>
  <cacheFields count="9">
    <cacheField name="Channel Name" numFmtId="0">
      <sharedItems count="3">
        <s v="Justin Bieber"/>
        <s v="Super Simple Songs - Kid Songs"/>
        <s v="The Weekend"/>
      </sharedItems>
    </cacheField>
    <cacheField name="Avg Views per Video (Excel)" numFmtId="0">
      <sharedItems containsSemiMixedTypes="0" containsString="0" containsNumber="1" containsInteger="1" minValue="1232000" maxValue="2009000" count="3">
        <n v="1232000"/>
        <n v="1754000"/>
        <n v="2009000"/>
      </sharedItems>
    </cacheField>
    <cacheField name="Avg Views per Video (SQL)" numFmtId="0">
      <sharedItems containsSemiMixedTypes="0" containsString="0" containsNumber="1" containsInteger="1" minValue="1232000" maxValue="2009000" count="3">
        <n v="1232000"/>
        <n v="1754000"/>
        <n v="2009000"/>
      </sharedItems>
    </cacheField>
    <cacheField name="Potential Product Sales per video (Excel)" numFmtId="43">
      <sharedItems containsSemiMixedTypes="0" containsString="0" containsNumber="1" containsInteger="1" minValue="24640" maxValue="40180"/>
    </cacheField>
    <cacheField name="Potential Product Sales per video (SQL)" numFmtId="43">
      <sharedItems containsSemiMixedTypes="0" containsString="0" containsNumber="1" containsInteger="1" minValue="24640" maxValue="40180"/>
    </cacheField>
    <cacheField name="Potential Revenue per Video $CAD (Excel)" numFmtId="43">
      <sharedItems containsSemiMixedTypes="0" containsString="0" containsNumber="1" containsInteger="1" minValue="123200" maxValue="200900"/>
    </cacheField>
    <cacheField name="Potential Revenue per Video $CAD (SQL)" numFmtId="43">
      <sharedItems containsSemiMixedTypes="0" containsString="0" containsNumber="1" containsInteger="1" minValue="123200" maxValue="200900"/>
    </cacheField>
    <cacheField name="Net Profit (Excel)" numFmtId="43">
      <sharedItems containsSemiMixedTypes="0" containsString="0" containsNumber="1" containsInteger="1" minValue="73200" maxValue="150900"/>
    </cacheField>
    <cacheField name="Net Profit (SQL)" numFmtId="43">
      <sharedItems containsSemiMixedTypes="0" containsString="0" containsNumber="1" containsInteger="1" minValue="73200" maxValue="150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x v="0"/>
    <n v="24640"/>
    <n v="24640"/>
    <n v="123200"/>
    <n v="123200"/>
    <n v="73200"/>
    <n v="73200"/>
  </r>
  <r>
    <x v="1"/>
    <x v="1"/>
    <x v="1"/>
    <n v="35080"/>
    <n v="35080"/>
    <n v="175400"/>
    <n v="175400"/>
    <n v="125400"/>
    <n v="125400"/>
  </r>
  <r>
    <x v="2"/>
    <x v="2"/>
    <x v="2"/>
    <n v="40180"/>
    <n v="40180"/>
    <n v="200900"/>
    <n v="200900"/>
    <n v="150900"/>
    <n v="150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630A7B-5A07-4372-9571-A9EE0BE0DC28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C26" firstHeaderRow="0" firstDataRow="1" firstDataCol="1"/>
  <pivotFields count="9">
    <pivotField axis="axisRow"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numFmtId="43" showAll="0"/>
    <pivotField numFmtId="43" showAll="0"/>
    <pivotField numFmtId="43" showAll="0"/>
    <pivotField numFmtId="43" showAll="0"/>
    <pivotField dataField="1" numFmtId="43" showAll="0"/>
    <pivotField dataField="1" numFmtId="43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Profit (Excel)" fld="7" baseField="0" baseItem="0" numFmtId="43"/>
    <dataField name="Sum of Net Profit (SQL)" fld="8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B4A75-6867-4D23-91B5-E1E4CEEA687C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C20" firstHeaderRow="0" firstDataRow="1" firstDataCol="1"/>
  <pivotFields count="9">
    <pivotField axis="axisRow"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numFmtId="43" showAll="0"/>
    <pivotField numFmtId="43" showAll="0"/>
    <pivotField dataField="1" numFmtId="43" showAll="0"/>
    <pivotField dataField="1" numFmtId="43" showAll="0"/>
    <pivotField numFmtId="43" showAll="0"/>
    <pivotField numFmtId="43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tential Revenue per Video $CAD (Excel)" fld="5" baseField="0" baseItem="0" numFmtId="43"/>
    <dataField name="Sum of Potential Revenue per Video $CAD (SQL)" fld="6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394ED-3A14-43AD-8958-1BBCD1CBA41A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C14" firstHeaderRow="0" firstDataRow="1" firstDataCol="1"/>
  <pivotFields count="9">
    <pivotField axis="axisRow"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dataField="1" numFmtId="43" showAll="0"/>
    <pivotField dataField="1" numFmtId="43" showAll="0"/>
    <pivotField numFmtId="43" showAll="0"/>
    <pivotField numFmtId="43" showAll="0"/>
    <pivotField numFmtId="43" showAll="0"/>
    <pivotField numFmtId="43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otential Product Sales per video (Excel)" fld="3" baseField="0" baseItem="0" numFmtId="43"/>
    <dataField name="Sum of Potential Product Sales per video (SQL)" fld="4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9178C-32BE-497D-AA22-F0A4A498B0E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9">
    <pivotField axis="axisRow"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4">
        <item x="0"/>
        <item x="1"/>
        <item x="2"/>
        <item t="default"/>
      </items>
    </pivotField>
    <pivotField numFmtId="43" showAll="0"/>
    <pivotField numFmtId="43" showAll="0"/>
    <pivotField numFmtId="43" showAll="0"/>
    <pivotField numFmtId="43" showAll="0"/>
    <pivotField numFmtId="43" showAll="0"/>
    <pivotField numFmtId="43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g Views per Video (SQL)" fld="2" baseField="0" baseItem="0"/>
    <dataField name="Sum of Avg Views per Video (Excel)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992D4-9D7F-4503-9AE3-1FEBD2FDD990}">
  <dimension ref="A1:J21"/>
  <sheetViews>
    <sheetView showGridLines="0" tabSelected="1" workbookViewId="0">
      <selection activeCell="B20" sqref="B20:F20"/>
    </sheetView>
  </sheetViews>
  <sheetFormatPr defaultColWidth="0" defaultRowHeight="14.4" zeroHeight="1" x14ac:dyDescent="0.3"/>
  <cols>
    <col min="1" max="1" width="2.33203125" customWidth="1"/>
    <col min="2" max="2" width="25.88671875" style="2" bestFit="1" customWidth="1"/>
    <col min="3" max="10" width="19.109375" customWidth="1"/>
    <col min="11" max="11" width="2.33203125" customWidth="1"/>
    <col min="12" max="16384" width="8.88671875" hidden="1"/>
  </cols>
  <sheetData>
    <row r="1" spans="2:10" ht="12" customHeight="1" thickBot="1" x14ac:dyDescent="0.35"/>
    <row r="2" spans="2:10" ht="25.2" customHeight="1" thickBot="1" x14ac:dyDescent="0.35">
      <c r="B2" s="22" t="s">
        <v>0</v>
      </c>
      <c r="C2" s="23"/>
      <c r="D2" s="23"/>
      <c r="E2" s="23"/>
      <c r="F2" s="23"/>
      <c r="G2" s="23"/>
      <c r="H2" s="23"/>
      <c r="I2" s="23"/>
      <c r="J2" s="24"/>
    </row>
    <row r="3" spans="2:10" x14ac:dyDescent="0.3"/>
    <row r="4" spans="2:10" ht="15.6" x14ac:dyDescent="0.3">
      <c r="B4" s="3" t="s">
        <v>4</v>
      </c>
      <c r="C4" s="5">
        <v>0.02</v>
      </c>
    </row>
    <row r="5" spans="2:10" ht="15.6" x14ac:dyDescent="0.3">
      <c r="B5" s="3" t="s">
        <v>5</v>
      </c>
      <c r="C5" s="5">
        <v>5</v>
      </c>
    </row>
    <row r="6" spans="2:10" ht="15.6" x14ac:dyDescent="0.3">
      <c r="B6" s="3" t="s">
        <v>6</v>
      </c>
      <c r="C6" s="5">
        <v>50000</v>
      </c>
    </row>
    <row r="7" spans="2:10" ht="15" thickBot="1" x14ac:dyDescent="0.35"/>
    <row r="8" spans="2:10" ht="47.4" customHeight="1" thickBot="1" x14ac:dyDescent="0.35">
      <c r="B8" s="12" t="s">
        <v>1</v>
      </c>
      <c r="C8" s="13" t="s">
        <v>2</v>
      </c>
      <c r="D8" s="13" t="s">
        <v>3</v>
      </c>
      <c r="E8" s="13" t="s">
        <v>11</v>
      </c>
      <c r="F8" s="13" t="s">
        <v>12</v>
      </c>
      <c r="G8" s="13" t="s">
        <v>13</v>
      </c>
      <c r="H8" s="13" t="s">
        <v>14</v>
      </c>
      <c r="I8" s="13" t="s">
        <v>16</v>
      </c>
      <c r="J8" s="14" t="s">
        <v>17</v>
      </c>
    </row>
    <row r="9" spans="2:10" x14ac:dyDescent="0.3">
      <c r="B9" s="8" t="s">
        <v>8</v>
      </c>
      <c r="C9" s="25">
        <v>1232000</v>
      </c>
      <c r="D9" s="25">
        <v>1232000</v>
      </c>
      <c r="E9" s="10">
        <f>C9*C4</f>
        <v>24640</v>
      </c>
      <c r="F9" s="10">
        <v>24640</v>
      </c>
      <c r="G9" s="11">
        <f>E9*C5</f>
        <v>123200</v>
      </c>
      <c r="H9" s="11">
        <v>123200</v>
      </c>
      <c r="I9" s="11">
        <f>G9-C6</f>
        <v>73200</v>
      </c>
      <c r="J9" s="11">
        <v>73200</v>
      </c>
    </row>
    <row r="10" spans="2:10" x14ac:dyDescent="0.3">
      <c r="B10" s="4" t="s">
        <v>9</v>
      </c>
      <c r="C10" s="26">
        <v>1754000</v>
      </c>
      <c r="D10" s="26">
        <v>1754000</v>
      </c>
      <c r="E10" s="6">
        <f>C10*C4</f>
        <v>35080</v>
      </c>
      <c r="F10" s="6">
        <v>35080</v>
      </c>
      <c r="G10" s="7">
        <f>E10*C5</f>
        <v>175400</v>
      </c>
      <c r="H10" s="7">
        <v>175400</v>
      </c>
      <c r="I10" s="11">
        <f>G10-C6</f>
        <v>125400</v>
      </c>
      <c r="J10" s="11">
        <v>125400</v>
      </c>
    </row>
    <row r="11" spans="2:10" x14ac:dyDescent="0.3">
      <c r="B11" s="1" t="s">
        <v>10</v>
      </c>
      <c r="C11" s="26">
        <v>2009000</v>
      </c>
      <c r="D11" s="26">
        <v>2009000</v>
      </c>
      <c r="E11" s="6">
        <f>C11*C4</f>
        <v>40180</v>
      </c>
      <c r="F11" s="6">
        <v>40180</v>
      </c>
      <c r="G11" s="7">
        <f>E11*C5</f>
        <v>200900</v>
      </c>
      <c r="H11" s="7">
        <v>200900</v>
      </c>
      <c r="I11" s="27">
        <f>G11-C6</f>
        <v>150900</v>
      </c>
      <c r="J11" s="27">
        <v>150900</v>
      </c>
    </row>
    <row r="12" spans="2:10" ht="15" thickBot="1" x14ac:dyDescent="0.35"/>
    <row r="13" spans="2:10" ht="18.600000000000001" customHeight="1" thickBot="1" x14ac:dyDescent="0.35">
      <c r="C13" s="19" t="s">
        <v>15</v>
      </c>
      <c r="D13" s="20"/>
      <c r="E13" s="20"/>
      <c r="F13" s="21"/>
    </row>
    <row r="14" spans="2:10" ht="29.4" thickBot="1" x14ac:dyDescent="0.35">
      <c r="B14" s="12" t="s">
        <v>1</v>
      </c>
      <c r="C14" s="13" t="s">
        <v>28</v>
      </c>
      <c r="D14" s="13" t="s">
        <v>7</v>
      </c>
      <c r="E14" s="13" t="s">
        <v>29</v>
      </c>
      <c r="F14" s="14" t="s">
        <v>30</v>
      </c>
    </row>
    <row r="15" spans="2:10" x14ac:dyDescent="0.3">
      <c r="B15" s="9" t="s">
        <v>8</v>
      </c>
      <c r="C15" s="9">
        <f>C9-D9</f>
        <v>0</v>
      </c>
      <c r="D15" s="11">
        <f>E9-F9</f>
        <v>0</v>
      </c>
      <c r="E15" s="11">
        <f>G9-H9</f>
        <v>0</v>
      </c>
      <c r="F15" s="11">
        <f>I9-J9</f>
        <v>0</v>
      </c>
    </row>
    <row r="16" spans="2:10" x14ac:dyDescent="0.3">
      <c r="B16" s="1" t="s">
        <v>9</v>
      </c>
      <c r="C16" s="1">
        <f t="shared" ref="C16:C17" si="0">C10-D10</f>
        <v>0</v>
      </c>
      <c r="D16" s="7">
        <f t="shared" ref="D16:D17" si="1">E10-F10</f>
        <v>0</v>
      </c>
      <c r="E16" s="7">
        <f t="shared" ref="E16:E17" si="2">G10-H10</f>
        <v>0</v>
      </c>
      <c r="F16" s="7">
        <f t="shared" ref="F16:F17" si="3">I10-J10</f>
        <v>0</v>
      </c>
    </row>
    <row r="17" spans="2:6" x14ac:dyDescent="0.3">
      <c r="B17" s="1" t="s">
        <v>10</v>
      </c>
      <c r="C17" s="1">
        <f t="shared" si="0"/>
        <v>0</v>
      </c>
      <c r="D17" s="7">
        <f t="shared" si="1"/>
        <v>0</v>
      </c>
      <c r="E17" s="7">
        <f t="shared" si="2"/>
        <v>0</v>
      </c>
      <c r="F17" s="7">
        <f t="shared" si="3"/>
        <v>0</v>
      </c>
    </row>
    <row r="18" spans="2:6" x14ac:dyDescent="0.3"/>
    <row r="19" spans="2:6" ht="27.6" customHeight="1" x14ac:dyDescent="0.3">
      <c r="B19" s="28" t="s">
        <v>31</v>
      </c>
      <c r="C19" s="29"/>
      <c r="D19" s="29"/>
      <c r="E19" s="29"/>
      <c r="F19" s="29"/>
    </row>
    <row r="20" spans="2:6" ht="29.4" customHeight="1" x14ac:dyDescent="0.3">
      <c r="B20" s="30" t="s">
        <v>32</v>
      </c>
      <c r="C20" s="30"/>
      <c r="D20" s="30"/>
      <c r="E20" s="30"/>
      <c r="F20" s="30"/>
    </row>
    <row r="21" spans="2:6" x14ac:dyDescent="0.3"/>
  </sheetData>
  <mergeCells count="4">
    <mergeCell ref="C13:F13"/>
    <mergeCell ref="B2:J2"/>
    <mergeCell ref="B20:F20"/>
    <mergeCell ref="B19:F19"/>
  </mergeCells>
  <conditionalFormatting sqref="C15:F17">
    <cfRule type="cellIs" dxfId="0" priority="1" operator="notEqual">
      <formula>0</formula>
    </cfRule>
    <cfRule type="cellIs" priority="2" operator="not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E190-9EBD-4BF8-89CA-0BDED7C66903}">
  <dimension ref="A3:C26"/>
  <sheetViews>
    <sheetView workbookViewId="0">
      <selection activeCell="E23" sqref="E23"/>
    </sheetView>
  </sheetViews>
  <sheetFormatPr defaultRowHeight="14.4" x14ac:dyDescent="0.3"/>
  <cols>
    <col min="1" max="1" width="25.88671875" bestFit="1" customWidth="1"/>
    <col min="2" max="2" width="21.33203125" bestFit="1" customWidth="1"/>
    <col min="3" max="9" width="20.109375" bestFit="1" customWidth="1"/>
    <col min="10" max="24" width="42" bestFit="1" customWidth="1"/>
    <col min="25" max="25" width="33.33203125" bestFit="1" customWidth="1"/>
    <col min="26" max="26" width="34.5546875" bestFit="1" customWidth="1"/>
    <col min="27" max="27" width="45.77734375" bestFit="1" customWidth="1"/>
    <col min="28" max="28" width="44.6640625" bestFit="1" customWidth="1"/>
    <col min="29" max="29" width="46.5546875" bestFit="1" customWidth="1"/>
    <col min="30" max="30" width="45.33203125" bestFit="1" customWidth="1"/>
    <col min="31" max="31" width="25.88671875" bestFit="1" customWidth="1"/>
    <col min="32" max="32" width="24.6640625" bestFit="1" customWidth="1"/>
  </cols>
  <sheetData>
    <row r="3" spans="1:3" x14ac:dyDescent="0.3">
      <c r="A3" s="15" t="s">
        <v>19</v>
      </c>
      <c r="B3" t="s">
        <v>20</v>
      </c>
      <c r="C3" t="s">
        <v>21</v>
      </c>
    </row>
    <row r="4" spans="1:3" x14ac:dyDescent="0.3">
      <c r="A4" s="16" t="s">
        <v>8</v>
      </c>
      <c r="B4" s="17">
        <v>1232000</v>
      </c>
      <c r="C4" s="17">
        <v>1232000</v>
      </c>
    </row>
    <row r="5" spans="1:3" x14ac:dyDescent="0.3">
      <c r="A5" s="16" t="s">
        <v>9</v>
      </c>
      <c r="B5" s="17">
        <v>1754000</v>
      </c>
      <c r="C5" s="17">
        <v>1754000</v>
      </c>
    </row>
    <row r="6" spans="1:3" x14ac:dyDescent="0.3">
      <c r="A6" s="16" t="s">
        <v>10</v>
      </c>
      <c r="B6" s="17">
        <v>2009000</v>
      </c>
      <c r="C6" s="17">
        <v>2009000</v>
      </c>
    </row>
    <row r="7" spans="1:3" x14ac:dyDescent="0.3">
      <c r="A7" s="16" t="s">
        <v>18</v>
      </c>
      <c r="B7" s="17">
        <v>4995000</v>
      </c>
      <c r="C7" s="17">
        <v>4995000</v>
      </c>
    </row>
    <row r="10" spans="1:3" x14ac:dyDescent="0.3">
      <c r="A10" s="15" t="s">
        <v>19</v>
      </c>
      <c r="B10" t="s">
        <v>22</v>
      </c>
      <c r="C10" t="s">
        <v>23</v>
      </c>
    </row>
    <row r="11" spans="1:3" x14ac:dyDescent="0.3">
      <c r="A11" s="16" t="s">
        <v>8</v>
      </c>
      <c r="B11" s="18">
        <v>24640</v>
      </c>
      <c r="C11" s="18">
        <v>24640</v>
      </c>
    </row>
    <row r="12" spans="1:3" x14ac:dyDescent="0.3">
      <c r="A12" s="16" t="s">
        <v>9</v>
      </c>
      <c r="B12" s="18">
        <v>35080</v>
      </c>
      <c r="C12" s="18">
        <v>35080</v>
      </c>
    </row>
    <row r="13" spans="1:3" x14ac:dyDescent="0.3">
      <c r="A13" s="16" t="s">
        <v>10</v>
      </c>
      <c r="B13" s="18">
        <v>40180</v>
      </c>
      <c r="C13" s="18">
        <v>40180</v>
      </c>
    </row>
    <row r="14" spans="1:3" x14ac:dyDescent="0.3">
      <c r="A14" s="16" t="s">
        <v>18</v>
      </c>
      <c r="B14" s="18">
        <v>99900</v>
      </c>
      <c r="C14" s="18">
        <v>99900</v>
      </c>
    </row>
    <row r="16" spans="1:3" x14ac:dyDescent="0.3">
      <c r="A16" s="15" t="s">
        <v>19</v>
      </c>
      <c r="B16" t="s">
        <v>24</v>
      </c>
      <c r="C16" t="s">
        <v>25</v>
      </c>
    </row>
    <row r="17" spans="1:3" x14ac:dyDescent="0.3">
      <c r="A17" s="16" t="s">
        <v>8</v>
      </c>
      <c r="B17" s="18">
        <v>123200</v>
      </c>
      <c r="C17" s="18">
        <v>123200</v>
      </c>
    </row>
    <row r="18" spans="1:3" x14ac:dyDescent="0.3">
      <c r="A18" s="16" t="s">
        <v>9</v>
      </c>
      <c r="B18" s="18">
        <v>175400</v>
      </c>
      <c r="C18" s="18">
        <v>175400</v>
      </c>
    </row>
    <row r="19" spans="1:3" x14ac:dyDescent="0.3">
      <c r="A19" s="16" t="s">
        <v>10</v>
      </c>
      <c r="B19" s="18">
        <v>200900</v>
      </c>
      <c r="C19" s="18">
        <v>200900</v>
      </c>
    </row>
    <row r="20" spans="1:3" x14ac:dyDescent="0.3">
      <c r="A20" s="16" t="s">
        <v>18</v>
      </c>
      <c r="B20" s="18">
        <v>499500</v>
      </c>
      <c r="C20" s="18">
        <v>499500</v>
      </c>
    </row>
    <row r="22" spans="1:3" x14ac:dyDescent="0.3">
      <c r="A22" s="15" t="s">
        <v>19</v>
      </c>
      <c r="B22" t="s">
        <v>26</v>
      </c>
      <c r="C22" t="s">
        <v>27</v>
      </c>
    </row>
    <row r="23" spans="1:3" x14ac:dyDescent="0.3">
      <c r="A23" s="16" t="s">
        <v>8</v>
      </c>
      <c r="B23" s="18">
        <v>73200</v>
      </c>
      <c r="C23" s="18">
        <v>73200</v>
      </c>
    </row>
    <row r="24" spans="1:3" x14ac:dyDescent="0.3">
      <c r="A24" s="16" t="s">
        <v>9</v>
      </c>
      <c r="B24" s="18">
        <v>125400</v>
      </c>
      <c r="C24" s="18">
        <v>125400</v>
      </c>
    </row>
    <row r="25" spans="1:3" x14ac:dyDescent="0.3">
      <c r="A25" s="16" t="s">
        <v>10</v>
      </c>
      <c r="B25" s="18">
        <v>150900</v>
      </c>
      <c r="C25" s="18">
        <v>150900</v>
      </c>
    </row>
    <row r="26" spans="1:3" x14ac:dyDescent="0.3">
      <c r="A26" s="16" t="s">
        <v>18</v>
      </c>
      <c r="B26" s="18">
        <v>349500</v>
      </c>
      <c r="C26" s="18">
        <v>349500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Harpriya Rajpal</dc:creator>
  <cp:lastModifiedBy>Harpriya Rajpal</cp:lastModifiedBy>
  <dcterms:created xsi:type="dcterms:W3CDTF">2026-01-02T17:16:56Z</dcterms:created>
  <dcterms:modified xsi:type="dcterms:W3CDTF">2026-01-02T23:10:24Z</dcterms:modified>
</cp:coreProperties>
</file>